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Export Business\Machine Specifications and Drawings\"/>
    </mc:Choice>
  </mc:AlternateContent>
  <xr:revisionPtr revIDLastSave="0" documentId="13_ncr:1_{0B66EC8D-FFC9-44FB-A8E6-2B9573665209}" xr6:coauthVersionLast="47" xr6:coauthVersionMax="47" xr10:uidLastSave="{00000000-0000-0000-0000-000000000000}"/>
  <bookViews>
    <workbookView xWindow="-108" yWindow="-108" windowWidth="23256" windowHeight="12816" activeTab="2" xr2:uid="{00000000-000D-0000-FFFF-FFFF00000000}"/>
  </bookViews>
  <sheets>
    <sheet name="All Models" sheetId="6" r:id="rId1"/>
    <sheet name="Rough" sheetId="10" r:id="rId2"/>
    <sheet name="Sheet1" sheetId="9" r:id="rId3"/>
    <sheet name="SE-8001" sheetId="7" state="hidden" r:id="rId4"/>
    <sheet name="All Machines" sheetId="8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0" l="1"/>
  <c r="E6" i="10"/>
  <c r="E7" i="10"/>
  <c r="E8" i="10"/>
  <c r="E9" i="10"/>
  <c r="E5" i="10"/>
  <c r="C24" i="9"/>
  <c r="C22" i="9"/>
  <c r="C21" i="9"/>
  <c r="C19" i="9"/>
  <c r="C18" i="9"/>
  <c r="C15" i="9"/>
  <c r="C14" i="9"/>
  <c r="C11" i="9"/>
  <c r="C10" i="9"/>
  <c r="C7" i="9"/>
  <c r="C6" i="9"/>
  <c r="C5" i="9"/>
  <c r="D5" i="9"/>
  <c r="D10" i="9"/>
  <c r="D24" i="9"/>
  <c r="D9" i="9"/>
  <c r="D3" i="9"/>
  <c r="F33" i="6"/>
  <c r="G33" i="6" s="1"/>
  <c r="I33" i="6" s="1"/>
  <c r="F34" i="6"/>
  <c r="G34" i="6" s="1"/>
  <c r="I34" i="6" s="1"/>
  <c r="F35" i="6"/>
  <c r="G35" i="6" s="1"/>
  <c r="I35" i="6" s="1"/>
  <c r="F27" i="6"/>
  <c r="G27" i="6" s="1"/>
  <c r="I27" i="6" s="1"/>
  <c r="F28" i="6"/>
  <c r="G28" i="6" s="1"/>
  <c r="I28" i="6" s="1"/>
  <c r="J28" i="6" s="1"/>
  <c r="F29" i="6"/>
  <c r="G29" i="6" s="1"/>
  <c r="I29" i="6" s="1"/>
  <c r="F21" i="6"/>
  <c r="G21" i="6" s="1"/>
  <c r="I21" i="6" s="1"/>
  <c r="J21" i="6" s="1"/>
  <c r="F22" i="6"/>
  <c r="G22" i="6" s="1"/>
  <c r="I22" i="6" s="1"/>
  <c r="J22" i="6" s="1"/>
  <c r="F23" i="6"/>
  <c r="G23" i="6" s="1"/>
  <c r="I23" i="6" s="1"/>
  <c r="J23" i="6" s="1"/>
  <c r="F15" i="6"/>
  <c r="G15" i="6" s="1"/>
  <c r="I15" i="6" s="1"/>
  <c r="J15" i="6" s="1"/>
  <c r="F16" i="6"/>
  <c r="G16" i="6" s="1"/>
  <c r="I16" i="6" s="1"/>
  <c r="J16" i="6" s="1"/>
  <c r="F17" i="6"/>
  <c r="G17" i="6" s="1"/>
  <c r="I17" i="6" s="1"/>
  <c r="J17" i="6" s="1"/>
  <c r="F9" i="6"/>
  <c r="G9" i="6" s="1"/>
  <c r="I9" i="6" s="1"/>
  <c r="F10" i="6"/>
  <c r="G10" i="6" s="1"/>
  <c r="I10" i="6" s="1"/>
  <c r="F11" i="6"/>
  <c r="G11" i="6" s="1"/>
  <c r="I11" i="6" s="1"/>
  <c r="F4" i="6"/>
  <c r="G4" i="6" s="1"/>
  <c r="I4" i="6" s="1"/>
  <c r="F5" i="6"/>
  <c r="G5" i="6" s="1"/>
  <c r="I5" i="6" s="1"/>
  <c r="F3" i="6"/>
  <c r="G3" i="6" s="1"/>
  <c r="I3" i="6" s="1"/>
  <c r="D6" i="9" l="1"/>
  <c r="D7" i="9" s="1"/>
  <c r="D11" i="9"/>
  <c r="D12" i="9" s="1"/>
  <c r="D17" i="9"/>
  <c r="J35" i="6"/>
  <c r="K35" i="6"/>
  <c r="J34" i="6"/>
  <c r="K34" i="6"/>
  <c r="K33" i="6"/>
  <c r="J33" i="6"/>
  <c r="K29" i="6"/>
  <c r="J29" i="6"/>
  <c r="K27" i="6"/>
  <c r="J27" i="6"/>
  <c r="K28" i="6"/>
  <c r="K22" i="6"/>
  <c r="K21" i="6"/>
  <c r="K23" i="6"/>
  <c r="K17" i="6"/>
  <c r="K16" i="6"/>
  <c r="K15" i="6"/>
  <c r="J10" i="6"/>
  <c r="K10" i="6"/>
  <c r="K9" i="6"/>
  <c r="J9" i="6"/>
  <c r="J11" i="6"/>
  <c r="K11" i="6"/>
  <c r="J5" i="6"/>
  <c r="K5" i="6"/>
  <c r="K3" i="6"/>
  <c r="J3" i="6"/>
  <c r="K4" i="6"/>
  <c r="J4" i="6"/>
  <c r="D14" i="9" l="1"/>
  <c r="D15" i="9" s="1"/>
  <c r="D18" i="9"/>
  <c r="D19" i="9" s="1"/>
  <c r="E20" i="8"/>
  <c r="F20" i="8" s="1"/>
  <c r="H20" i="8" s="1"/>
  <c r="E19" i="8"/>
  <c r="F19" i="8" s="1"/>
  <c r="H19" i="8" s="1"/>
  <c r="E18" i="8"/>
  <c r="F18" i="8" s="1"/>
  <c r="H18" i="8" s="1"/>
  <c r="I18" i="8" s="1"/>
  <c r="E35" i="8"/>
  <c r="F35" i="8" s="1"/>
  <c r="H35" i="8" s="1"/>
  <c r="E34" i="8"/>
  <c r="F34" i="8" s="1"/>
  <c r="H34" i="8" s="1"/>
  <c r="E33" i="8"/>
  <c r="F33" i="8" s="1"/>
  <c r="H33" i="8" s="1"/>
  <c r="E30" i="8"/>
  <c r="F30" i="8" s="1"/>
  <c r="H30" i="8" s="1"/>
  <c r="E29" i="8"/>
  <c r="F29" i="8" s="1"/>
  <c r="H29" i="8" s="1"/>
  <c r="E28" i="8"/>
  <c r="F28" i="8" s="1"/>
  <c r="H28" i="8" s="1"/>
  <c r="E25" i="8"/>
  <c r="F25" i="8" s="1"/>
  <c r="H25" i="8" s="1"/>
  <c r="E24" i="8"/>
  <c r="F24" i="8" s="1"/>
  <c r="H24" i="8" s="1"/>
  <c r="E23" i="8"/>
  <c r="F23" i="8" s="1"/>
  <c r="H23" i="8" s="1"/>
  <c r="E15" i="8"/>
  <c r="F15" i="8" s="1"/>
  <c r="H15" i="8" s="1"/>
  <c r="J15" i="8" s="1"/>
  <c r="E14" i="8"/>
  <c r="F14" i="8" s="1"/>
  <c r="H14" i="8" s="1"/>
  <c r="E13" i="8"/>
  <c r="F13" i="8" s="1"/>
  <c r="H13" i="8" s="1"/>
  <c r="E10" i="8"/>
  <c r="F10" i="8" s="1"/>
  <c r="H10" i="8" s="1"/>
  <c r="E9" i="8"/>
  <c r="F9" i="8" s="1"/>
  <c r="H9" i="8" s="1"/>
  <c r="E8" i="8"/>
  <c r="F8" i="8" s="1"/>
  <c r="H8" i="8" s="1"/>
  <c r="E5" i="8"/>
  <c r="F5" i="8" s="1"/>
  <c r="H5" i="8" s="1"/>
  <c r="E4" i="8"/>
  <c r="F4" i="8" s="1"/>
  <c r="H4" i="8" s="1"/>
  <c r="E3" i="8"/>
  <c r="F3" i="8" s="1"/>
  <c r="H3" i="8" s="1"/>
  <c r="I3" i="8" s="1"/>
  <c r="E4" i="7"/>
  <c r="F4" i="7" s="1"/>
  <c r="H4" i="7" s="1"/>
  <c r="I4" i="7" s="1"/>
  <c r="E5" i="7"/>
  <c r="F5" i="7" s="1"/>
  <c r="H5" i="7" s="1"/>
  <c r="I5" i="7" s="1"/>
  <c r="E3" i="7"/>
  <c r="F3" i="7"/>
  <c r="H3" i="7" s="1"/>
  <c r="I3" i="7" s="1"/>
  <c r="D21" i="9" l="1"/>
  <c r="D22" i="9" s="1"/>
  <c r="D25" i="9" s="1"/>
  <c r="I19" i="8"/>
  <c r="J19" i="8"/>
  <c r="I20" i="8"/>
  <c r="J20" i="8"/>
  <c r="J18" i="8"/>
  <c r="J35" i="8"/>
  <c r="I35" i="8"/>
  <c r="J10" i="8"/>
  <c r="I10" i="8"/>
  <c r="I15" i="8"/>
  <c r="J30" i="8"/>
  <c r="I30" i="8"/>
  <c r="J25" i="8"/>
  <c r="I25" i="8"/>
  <c r="I34" i="8"/>
  <c r="J34" i="8"/>
  <c r="I33" i="8"/>
  <c r="J33" i="8"/>
  <c r="I28" i="8"/>
  <c r="J28" i="8"/>
  <c r="I29" i="8"/>
  <c r="J29" i="8"/>
  <c r="I24" i="8"/>
  <c r="J24" i="8"/>
  <c r="I23" i="8"/>
  <c r="J23" i="8"/>
  <c r="I13" i="8"/>
  <c r="J13" i="8"/>
  <c r="I14" i="8"/>
  <c r="J14" i="8"/>
  <c r="I9" i="8"/>
  <c r="J9" i="8"/>
  <c r="I8" i="8"/>
  <c r="J8" i="8"/>
  <c r="J4" i="8"/>
  <c r="I4" i="8"/>
  <c r="I5" i="8"/>
  <c r="J5" i="8"/>
  <c r="J3" i="8"/>
  <c r="J3" i="7"/>
  <c r="J5" i="7"/>
  <c r="J4" i="7"/>
</calcChain>
</file>

<file path=xl/sharedStrings.xml><?xml version="1.0" encoding="utf-8"?>
<sst xmlns="http://schemas.openxmlformats.org/spreadsheetml/2006/main" count="244" uniqueCount="76">
  <si>
    <t>Mode</t>
  </si>
  <si>
    <t>Machine</t>
  </si>
  <si>
    <t>High</t>
  </si>
  <si>
    <t>Process Time(Hours)</t>
  </si>
  <si>
    <t>Medium</t>
  </si>
  <si>
    <t>low</t>
  </si>
  <si>
    <t>Power Tariff(Rs)</t>
  </si>
  <si>
    <t>Cost per Kg(Rs)</t>
  </si>
  <si>
    <t>Monthly Expense(Rs)</t>
  </si>
  <si>
    <t>Cost per batch(Rs)</t>
  </si>
  <si>
    <t>Connected Load (kW)</t>
  </si>
  <si>
    <t>1000Kg</t>
  </si>
  <si>
    <t>ROI Factor</t>
  </si>
  <si>
    <t>Running Time -Heater On(60%)</t>
  </si>
  <si>
    <t>500Kg</t>
  </si>
  <si>
    <t>100Kg</t>
  </si>
  <si>
    <t>50Kg</t>
  </si>
  <si>
    <t>800Kg</t>
  </si>
  <si>
    <t>Units Consumed(kWh)</t>
  </si>
  <si>
    <t>Running Time -Heater On(60%)`</t>
  </si>
  <si>
    <t>POWER CONSUMPTION DETAILS</t>
  </si>
  <si>
    <t>200Kg</t>
  </si>
  <si>
    <t>350Kg</t>
  </si>
  <si>
    <t>Running Time -Heater On</t>
  </si>
  <si>
    <t>Power Tariff(AED)</t>
  </si>
  <si>
    <t>Cost per batch(AED)</t>
  </si>
  <si>
    <t>Cost per Kg(AED)</t>
  </si>
  <si>
    <t>Monthly Expense(AED)</t>
  </si>
  <si>
    <t>PROCESSING COST CALCULATOR (AED)</t>
  </si>
  <si>
    <t>PROCESSING COST CALCULATOR (USD)</t>
  </si>
  <si>
    <t>Power Tariff(USD)</t>
  </si>
  <si>
    <t>Cost per batch(USD)</t>
  </si>
  <si>
    <t>Cost per Kg(USD)</t>
  </si>
  <si>
    <t>Monthly Expense(USD)</t>
  </si>
  <si>
    <t>Select Machine Model</t>
  </si>
  <si>
    <t>KGS</t>
  </si>
  <si>
    <t>COST OF CONVERTER</t>
  </si>
  <si>
    <t>RETURN ON INVESTMENT</t>
  </si>
  <si>
    <t>YRS</t>
  </si>
  <si>
    <t>AED</t>
  </si>
  <si>
    <t>SE 501</t>
  </si>
  <si>
    <t>SE 1001</t>
  </si>
  <si>
    <t>SE 2001</t>
  </si>
  <si>
    <t>SE 3501</t>
  </si>
  <si>
    <t>SE 5001</t>
  </si>
  <si>
    <t>SE 1H</t>
  </si>
  <si>
    <t>Machine Model</t>
  </si>
  <si>
    <t>Capacity</t>
  </si>
  <si>
    <t>Model</t>
  </si>
  <si>
    <t>SE501</t>
  </si>
  <si>
    <t>SE1001</t>
  </si>
  <si>
    <t>SE2001</t>
  </si>
  <si>
    <t>SE3501</t>
  </si>
  <si>
    <t>SE5001</t>
  </si>
  <si>
    <t>SE1H</t>
  </si>
  <si>
    <t>Electricity Consumption Per Batch</t>
  </si>
  <si>
    <t>Avg Electricity Consumption</t>
  </si>
  <si>
    <t>Power Tariff</t>
  </si>
  <si>
    <t>OUTPUT / BATCH</t>
  </si>
  <si>
    <t>Cost for processing / batch</t>
  </si>
  <si>
    <t>Cost for processing / month</t>
  </si>
  <si>
    <t>DISPOSAL COST / Day</t>
  </si>
  <si>
    <t>DISPOSAL COST / Month</t>
  </si>
  <si>
    <t xml:space="preserve">Price of machine (AED) </t>
  </si>
  <si>
    <t>Output selling cost / day</t>
  </si>
  <si>
    <t>Output selling cost / Month</t>
  </si>
  <si>
    <t>Saving / MONTH</t>
  </si>
  <si>
    <t>Saving / YEAR</t>
  </si>
  <si>
    <t>Net Income / Month</t>
  </si>
  <si>
    <t>Net Income / Year</t>
  </si>
  <si>
    <t>Power tariff</t>
  </si>
  <si>
    <t>Disposal cost for 1 kg</t>
  </si>
  <si>
    <t>Currency</t>
  </si>
  <si>
    <t>Output cost per kg</t>
  </si>
  <si>
    <t>Price in USD</t>
  </si>
  <si>
    <t>USD to Local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</si>
</sst>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0" borderId="0" xfId="0"/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0" fillId="0" borderId="0" xfId="0" applyBorder="1"/>
    <xf numFmtId="4" fontId="0" fillId="0" borderId="0" xfId="0" applyNumberFormat="1" applyBorder="1"/>
    <xf numFmtId="0" fontId="4" fillId="0" borderId="8" xfId="0" applyFont="1" applyBorder="1" applyAlignment="1">
      <alignment horizontal="center"/>
    </xf>
    <xf numFmtId="0" fontId="3" fillId="0" borderId="0" xfId="0" applyFont="1"/>
  </cellXfs>
  <cellStyles count="2">
    <cellStyle name="Normal" xfId="0" builtinId="0"/>
    <cellStyle name="Normal 2 2" xfId="1" xr:uid="{ECE5F30B-75B3-4984-A553-F6DEED3656E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zoomScale="86" workbookViewId="0">
      <selection activeCell="L14" sqref="L14"/>
    </sheetView>
  </sheetViews>
  <sheetFormatPr defaultColWidth="18.33203125" defaultRowHeight="14.4" x14ac:dyDescent="0.3"/>
  <cols>
    <col min="2" max="2" width="18.33203125" style="15"/>
    <col min="7" max="8" width="18.33203125" customWidth="1"/>
  </cols>
  <sheetData>
    <row r="1" spans="1:11" ht="21" x14ac:dyDescent="0.4">
      <c r="A1" s="10" t="s">
        <v>28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31.2" x14ac:dyDescent="0.3">
      <c r="A2" s="1" t="s">
        <v>46</v>
      </c>
      <c r="B2" s="1" t="s">
        <v>47</v>
      </c>
      <c r="C2" s="1" t="s">
        <v>10</v>
      </c>
      <c r="D2" s="1" t="s">
        <v>0</v>
      </c>
      <c r="E2" s="1" t="s">
        <v>3</v>
      </c>
      <c r="F2" s="2" t="s">
        <v>13</v>
      </c>
      <c r="G2" s="1" t="s">
        <v>18</v>
      </c>
      <c r="H2" s="1" t="s">
        <v>24</v>
      </c>
      <c r="I2" s="1" t="s">
        <v>25</v>
      </c>
      <c r="J2" s="1" t="s">
        <v>26</v>
      </c>
      <c r="K2" s="1" t="s">
        <v>27</v>
      </c>
    </row>
    <row r="3" spans="1:11" x14ac:dyDescent="0.3">
      <c r="A3" s="16" t="s">
        <v>40</v>
      </c>
      <c r="B3" s="18">
        <v>50</v>
      </c>
      <c r="C3" s="3">
        <v>2.8</v>
      </c>
      <c r="D3" s="3" t="s">
        <v>2</v>
      </c>
      <c r="E3" s="3">
        <v>16</v>
      </c>
      <c r="F3" s="3">
        <f>E3*60%</f>
        <v>9.6</v>
      </c>
      <c r="G3" s="4">
        <f>F3*C3</f>
        <v>26.88</v>
      </c>
      <c r="H3" s="3">
        <v>0.16</v>
      </c>
      <c r="I3" s="4">
        <f>G3*H3</f>
        <v>4.3007999999999997</v>
      </c>
      <c r="J3" s="4">
        <f>I3/50</f>
        <v>8.6015999999999995E-2</v>
      </c>
      <c r="K3" s="4">
        <f>I3*30</f>
        <v>129.024</v>
      </c>
    </row>
    <row r="4" spans="1:11" x14ac:dyDescent="0.3">
      <c r="B4" s="18"/>
      <c r="C4" s="3">
        <v>2.8</v>
      </c>
      <c r="D4" s="3" t="s">
        <v>4</v>
      </c>
      <c r="E4" s="3">
        <v>14</v>
      </c>
      <c r="F4" s="3">
        <f t="shared" ref="F4:F5" si="0">E4*60%</f>
        <v>8.4</v>
      </c>
      <c r="G4" s="4">
        <f t="shared" ref="G4:G5" si="1">F4*C4</f>
        <v>23.52</v>
      </c>
      <c r="H4" s="3">
        <v>0.16</v>
      </c>
      <c r="I4" s="4">
        <f t="shared" ref="I4:I5" si="2">G4*H4</f>
        <v>3.7631999999999999</v>
      </c>
      <c r="J4" s="4">
        <f t="shared" ref="J4:J5" si="3">I4/50</f>
        <v>7.5263999999999998E-2</v>
      </c>
      <c r="K4" s="4">
        <f t="shared" ref="K4:K5" si="4">I4*30</f>
        <v>112.896</v>
      </c>
    </row>
    <row r="5" spans="1:11" x14ac:dyDescent="0.3">
      <c r="A5" s="17"/>
      <c r="B5" s="17"/>
      <c r="C5" s="3">
        <v>2.8</v>
      </c>
      <c r="D5" s="3" t="s">
        <v>5</v>
      </c>
      <c r="E5" s="3">
        <v>12</v>
      </c>
      <c r="F5" s="3">
        <f t="shared" si="0"/>
        <v>7.1999999999999993</v>
      </c>
      <c r="G5" s="4">
        <f t="shared" si="1"/>
        <v>20.159999999999997</v>
      </c>
      <c r="H5" s="3">
        <v>0.16</v>
      </c>
      <c r="I5" s="4">
        <f t="shared" si="2"/>
        <v>3.2255999999999996</v>
      </c>
      <c r="J5" s="4">
        <f t="shared" si="3"/>
        <v>6.4511999999999986E-2</v>
      </c>
      <c r="K5" s="4">
        <f t="shared" si="4"/>
        <v>96.767999999999986</v>
      </c>
    </row>
    <row r="7" spans="1:11" ht="21" x14ac:dyDescent="0.4">
      <c r="A7" s="10" t="s">
        <v>28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31.2" x14ac:dyDescent="0.3">
      <c r="A8" s="1" t="s">
        <v>1</v>
      </c>
      <c r="B8" s="1"/>
      <c r="C8" s="1" t="s">
        <v>10</v>
      </c>
      <c r="D8" s="1" t="s">
        <v>0</v>
      </c>
      <c r="E8" s="1" t="s">
        <v>3</v>
      </c>
      <c r="F8" s="2" t="s">
        <v>13</v>
      </c>
      <c r="G8" s="1" t="s">
        <v>18</v>
      </c>
      <c r="H8" s="1" t="s">
        <v>24</v>
      </c>
      <c r="I8" s="1" t="s">
        <v>25</v>
      </c>
      <c r="J8" s="1" t="s">
        <v>26</v>
      </c>
      <c r="K8" s="1" t="s">
        <v>27</v>
      </c>
    </row>
    <row r="9" spans="1:11" x14ac:dyDescent="0.3">
      <c r="A9" s="16" t="s">
        <v>41</v>
      </c>
      <c r="B9" s="18">
        <v>100</v>
      </c>
      <c r="C9" s="3">
        <v>4</v>
      </c>
      <c r="D9" s="3" t="s">
        <v>2</v>
      </c>
      <c r="E9" s="3">
        <v>18</v>
      </c>
      <c r="F9" s="3">
        <f>E9*60%</f>
        <v>10.799999999999999</v>
      </c>
      <c r="G9" s="4">
        <f>F9*C9</f>
        <v>43.199999999999996</v>
      </c>
      <c r="H9" s="3">
        <v>0.16</v>
      </c>
      <c r="I9" s="4">
        <f>G9*H9</f>
        <v>6.911999999999999</v>
      </c>
      <c r="J9" s="4">
        <f>I9/100</f>
        <v>6.9119999999999987E-2</v>
      </c>
      <c r="K9" s="4">
        <f>I9*30</f>
        <v>207.35999999999996</v>
      </c>
    </row>
    <row r="10" spans="1:11" x14ac:dyDescent="0.3">
      <c r="B10" s="18"/>
      <c r="C10" s="3">
        <v>4</v>
      </c>
      <c r="D10" s="3" t="s">
        <v>4</v>
      </c>
      <c r="E10" s="3">
        <v>17</v>
      </c>
      <c r="F10" s="3">
        <f>E10*60%</f>
        <v>10.199999999999999</v>
      </c>
      <c r="G10" s="4">
        <f>F10*C10</f>
        <v>40.799999999999997</v>
      </c>
      <c r="H10" s="3">
        <v>0.16</v>
      </c>
      <c r="I10" s="4">
        <f>G10*H10</f>
        <v>6.5279999999999996</v>
      </c>
      <c r="J10" s="4">
        <f>I10/100</f>
        <v>6.5279999999999991E-2</v>
      </c>
      <c r="K10" s="4">
        <f>I10*30</f>
        <v>195.83999999999997</v>
      </c>
    </row>
    <row r="11" spans="1:11" x14ac:dyDescent="0.3">
      <c r="A11" s="17"/>
      <c r="B11" s="17"/>
      <c r="C11" s="3">
        <v>4</v>
      </c>
      <c r="D11" s="3" t="s">
        <v>5</v>
      </c>
      <c r="E11" s="3">
        <v>16</v>
      </c>
      <c r="F11" s="3">
        <f>E11*60%</f>
        <v>9.6</v>
      </c>
      <c r="G11" s="4">
        <f>F11*C11</f>
        <v>38.4</v>
      </c>
      <c r="H11" s="3">
        <v>0.16</v>
      </c>
      <c r="I11" s="4">
        <f>G11*H11</f>
        <v>6.1440000000000001</v>
      </c>
      <c r="J11" s="4">
        <f>I11/100</f>
        <v>6.1440000000000002E-2</v>
      </c>
      <c r="K11" s="4">
        <f>I11*30</f>
        <v>184.32</v>
      </c>
    </row>
    <row r="13" spans="1:11" ht="21" x14ac:dyDescent="0.4">
      <c r="A13" s="10" t="s">
        <v>28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31.2" x14ac:dyDescent="0.3">
      <c r="A14" s="1" t="s">
        <v>1</v>
      </c>
      <c r="B14" s="1"/>
      <c r="C14" s="1" t="s">
        <v>10</v>
      </c>
      <c r="D14" s="1" t="s">
        <v>0</v>
      </c>
      <c r="E14" s="1" t="s">
        <v>3</v>
      </c>
      <c r="F14" s="2" t="s">
        <v>13</v>
      </c>
      <c r="G14" s="1" t="s">
        <v>18</v>
      </c>
      <c r="H14" s="1" t="s">
        <v>24</v>
      </c>
      <c r="I14" s="1" t="s">
        <v>25</v>
      </c>
      <c r="J14" s="1" t="s">
        <v>26</v>
      </c>
      <c r="K14" s="1" t="s">
        <v>27</v>
      </c>
    </row>
    <row r="15" spans="1:11" x14ac:dyDescent="0.3">
      <c r="A15" s="16" t="s">
        <v>42</v>
      </c>
      <c r="B15" s="18">
        <v>200</v>
      </c>
      <c r="C15" s="3">
        <v>6</v>
      </c>
      <c r="D15" s="3" t="s">
        <v>2</v>
      </c>
      <c r="E15" s="3">
        <v>22</v>
      </c>
      <c r="F15" s="3">
        <f>E15*60%</f>
        <v>13.2</v>
      </c>
      <c r="G15" s="4">
        <f>F15*C15</f>
        <v>79.199999999999989</v>
      </c>
      <c r="H15" s="3">
        <v>0.16</v>
      </c>
      <c r="I15" s="4">
        <f>G15*H15</f>
        <v>12.671999999999999</v>
      </c>
      <c r="J15" s="4">
        <f>I15/200</f>
        <v>6.336E-2</v>
      </c>
      <c r="K15" s="4">
        <f>I15*30</f>
        <v>380.15999999999997</v>
      </c>
    </row>
    <row r="16" spans="1:11" x14ac:dyDescent="0.3">
      <c r="B16" s="18"/>
      <c r="C16" s="3">
        <v>6</v>
      </c>
      <c r="D16" s="3" t="s">
        <v>4</v>
      </c>
      <c r="E16" s="3">
        <v>18</v>
      </c>
      <c r="F16" s="3">
        <f>E16*60%</f>
        <v>10.799999999999999</v>
      </c>
      <c r="G16" s="4">
        <f>F16*C16</f>
        <v>64.8</v>
      </c>
      <c r="H16" s="3">
        <v>0.16</v>
      </c>
      <c r="I16" s="4">
        <f>G16*H16</f>
        <v>10.368</v>
      </c>
      <c r="J16" s="4">
        <f t="shared" ref="J16:J17" si="5">I16/200</f>
        <v>5.1840000000000004E-2</v>
      </c>
      <c r="K16" s="4">
        <f>I16*30</f>
        <v>311.04000000000002</v>
      </c>
    </row>
    <row r="17" spans="1:11" x14ac:dyDescent="0.3">
      <c r="A17" s="17"/>
      <c r="B17" s="17"/>
      <c r="C17" s="3">
        <v>6</v>
      </c>
      <c r="D17" s="3" t="s">
        <v>5</v>
      </c>
      <c r="E17" s="3">
        <v>16</v>
      </c>
      <c r="F17" s="3">
        <f>E17*60%</f>
        <v>9.6</v>
      </c>
      <c r="G17" s="4">
        <f>F17*C17</f>
        <v>57.599999999999994</v>
      </c>
      <c r="H17" s="3">
        <v>0.16</v>
      </c>
      <c r="I17" s="4">
        <f>G17*H17</f>
        <v>9.2159999999999993</v>
      </c>
      <c r="J17" s="4">
        <f t="shared" si="5"/>
        <v>4.6079999999999996E-2</v>
      </c>
      <c r="K17" s="4">
        <f>I17*30</f>
        <v>276.47999999999996</v>
      </c>
    </row>
    <row r="19" spans="1:11" ht="21" x14ac:dyDescent="0.4">
      <c r="A19" s="10" t="s">
        <v>28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31.2" x14ac:dyDescent="0.3">
      <c r="A20" s="1" t="s">
        <v>1</v>
      </c>
      <c r="B20" s="1"/>
      <c r="C20" s="1" t="s">
        <v>10</v>
      </c>
      <c r="D20" s="1" t="s">
        <v>0</v>
      </c>
      <c r="E20" s="1" t="s">
        <v>3</v>
      </c>
      <c r="F20" s="2" t="s">
        <v>13</v>
      </c>
      <c r="G20" s="1" t="s">
        <v>18</v>
      </c>
      <c r="H20" s="1" t="s">
        <v>24</v>
      </c>
      <c r="I20" s="1" t="s">
        <v>25</v>
      </c>
      <c r="J20" s="1" t="s">
        <v>26</v>
      </c>
      <c r="K20" s="1" t="s">
        <v>27</v>
      </c>
    </row>
    <row r="21" spans="1:11" x14ac:dyDescent="0.3">
      <c r="A21" s="16" t="s">
        <v>43</v>
      </c>
      <c r="B21" s="18">
        <v>350</v>
      </c>
      <c r="C21" s="3">
        <v>8</v>
      </c>
      <c r="D21" s="3" t="s">
        <v>2</v>
      </c>
      <c r="E21" s="3">
        <v>25</v>
      </c>
      <c r="F21" s="3">
        <f>E21*60%</f>
        <v>15</v>
      </c>
      <c r="G21" s="4">
        <f>F21*C21</f>
        <v>120</v>
      </c>
      <c r="H21" s="3">
        <v>0.16</v>
      </c>
      <c r="I21" s="4">
        <f>G21*H21</f>
        <v>19.2</v>
      </c>
      <c r="J21" s="4">
        <f>I21/350</f>
        <v>5.4857142857142854E-2</v>
      </c>
      <c r="K21" s="4">
        <f>I21*30</f>
        <v>576</v>
      </c>
    </row>
    <row r="22" spans="1:11" x14ac:dyDescent="0.3">
      <c r="B22" s="18"/>
      <c r="C22" s="3">
        <v>8</v>
      </c>
      <c r="D22" s="3" t="s">
        <v>4</v>
      </c>
      <c r="E22" s="3">
        <v>23</v>
      </c>
      <c r="F22" s="3">
        <f>E22*60%</f>
        <v>13.799999999999999</v>
      </c>
      <c r="G22" s="4">
        <f>F22*C22</f>
        <v>110.39999999999999</v>
      </c>
      <c r="H22" s="3">
        <v>0.16</v>
      </c>
      <c r="I22" s="4">
        <f>G22*H22</f>
        <v>17.663999999999998</v>
      </c>
      <c r="J22" s="4">
        <f t="shared" ref="J22:J23" si="6">I22/350</f>
        <v>5.0468571428571425E-2</v>
      </c>
      <c r="K22" s="4">
        <f>I22*30</f>
        <v>529.91999999999996</v>
      </c>
    </row>
    <row r="23" spans="1:11" x14ac:dyDescent="0.3">
      <c r="A23" s="17"/>
      <c r="B23" s="17"/>
      <c r="C23" s="3">
        <v>8</v>
      </c>
      <c r="D23" s="3" t="s">
        <v>5</v>
      </c>
      <c r="E23" s="3">
        <v>21</v>
      </c>
      <c r="F23" s="3">
        <f>E23*60%</f>
        <v>12.6</v>
      </c>
      <c r="G23" s="4">
        <f>F23*C23</f>
        <v>100.8</v>
      </c>
      <c r="H23" s="3">
        <v>0.16</v>
      </c>
      <c r="I23" s="4">
        <f>G23*H23</f>
        <v>16.128</v>
      </c>
      <c r="J23" s="4">
        <f t="shared" si="6"/>
        <v>4.6080000000000003E-2</v>
      </c>
      <c r="K23" s="4">
        <f>I23*30</f>
        <v>483.84000000000003</v>
      </c>
    </row>
    <row r="25" spans="1:11" ht="21" x14ac:dyDescent="0.4">
      <c r="A25" s="10" t="s">
        <v>29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s="8" customFormat="1" ht="31.2" x14ac:dyDescent="0.3">
      <c r="A26" s="2" t="s">
        <v>1</v>
      </c>
      <c r="B26" s="2"/>
      <c r="C26" s="2" t="s">
        <v>10</v>
      </c>
      <c r="D26" s="2" t="s">
        <v>0</v>
      </c>
      <c r="E26" s="2" t="s">
        <v>3</v>
      </c>
      <c r="F26" s="2" t="s">
        <v>13</v>
      </c>
      <c r="G26" s="2" t="s">
        <v>18</v>
      </c>
      <c r="H26" s="2" t="s">
        <v>30</v>
      </c>
      <c r="I26" s="2" t="s">
        <v>31</v>
      </c>
      <c r="J26" s="2" t="s">
        <v>32</v>
      </c>
      <c r="K26" s="2" t="s">
        <v>33</v>
      </c>
    </row>
    <row r="27" spans="1:11" x14ac:dyDescent="0.3">
      <c r="A27" s="16" t="s">
        <v>44</v>
      </c>
      <c r="B27" s="18">
        <v>500</v>
      </c>
      <c r="C27" s="3">
        <v>9</v>
      </c>
      <c r="D27" s="3" t="s">
        <v>2</v>
      </c>
      <c r="E27" s="3">
        <v>26</v>
      </c>
      <c r="F27" s="3">
        <f>E27*60%</f>
        <v>15.6</v>
      </c>
      <c r="G27" s="4">
        <f>F27*C27</f>
        <v>140.4</v>
      </c>
      <c r="H27" s="3">
        <v>0.16</v>
      </c>
      <c r="I27" s="4">
        <f>G27*H27</f>
        <v>22.464000000000002</v>
      </c>
      <c r="J27" s="4">
        <f>I27/500</f>
        <v>4.4928000000000003E-2</v>
      </c>
      <c r="K27" s="4">
        <f>I27*30</f>
        <v>673.92000000000007</v>
      </c>
    </row>
    <row r="28" spans="1:11" x14ac:dyDescent="0.3">
      <c r="B28" s="18"/>
      <c r="C28" s="3">
        <v>9</v>
      </c>
      <c r="D28" s="3" t="s">
        <v>4</v>
      </c>
      <c r="E28" s="3">
        <v>24</v>
      </c>
      <c r="F28" s="3">
        <f>E28*60%</f>
        <v>14.399999999999999</v>
      </c>
      <c r="G28" s="4">
        <f>F28*C28</f>
        <v>129.6</v>
      </c>
      <c r="H28" s="3">
        <v>0.16</v>
      </c>
      <c r="I28" s="4">
        <f>G28*H28</f>
        <v>20.736000000000001</v>
      </c>
      <c r="J28" s="4">
        <f>I28/500</f>
        <v>4.1472000000000002E-2</v>
      </c>
      <c r="K28" s="4">
        <f>I28*30</f>
        <v>622.08000000000004</v>
      </c>
    </row>
    <row r="29" spans="1:11" x14ac:dyDescent="0.3">
      <c r="A29" s="17"/>
      <c r="B29" s="17"/>
      <c r="C29" s="3">
        <v>9</v>
      </c>
      <c r="D29" s="3" t="s">
        <v>5</v>
      </c>
      <c r="E29" s="3">
        <v>22</v>
      </c>
      <c r="F29" s="3">
        <f>E29*60%</f>
        <v>13.2</v>
      </c>
      <c r="G29" s="4">
        <f>F29*C29</f>
        <v>118.8</v>
      </c>
      <c r="H29" s="3">
        <v>0.16</v>
      </c>
      <c r="I29" s="4">
        <f>G29*H29</f>
        <v>19.007999999999999</v>
      </c>
      <c r="J29" s="4">
        <f>I29/500</f>
        <v>3.8016000000000001E-2</v>
      </c>
      <c r="K29" s="4">
        <f>I29*30</f>
        <v>570.24</v>
      </c>
    </row>
    <row r="31" spans="1:11" ht="21" x14ac:dyDescent="0.4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31.2" x14ac:dyDescent="0.3">
      <c r="A32" s="1" t="s">
        <v>1</v>
      </c>
      <c r="B32" s="1"/>
      <c r="C32" s="1" t="s">
        <v>10</v>
      </c>
      <c r="D32" s="1" t="s">
        <v>0</v>
      </c>
      <c r="E32" s="1" t="s">
        <v>3</v>
      </c>
      <c r="F32" s="2" t="s">
        <v>23</v>
      </c>
      <c r="G32" s="1" t="s">
        <v>18</v>
      </c>
      <c r="H32" s="1" t="s">
        <v>24</v>
      </c>
      <c r="I32" s="1" t="s">
        <v>25</v>
      </c>
      <c r="J32" s="1" t="s">
        <v>26</v>
      </c>
      <c r="K32" s="1" t="s">
        <v>27</v>
      </c>
    </row>
    <row r="33" spans="1:11" x14ac:dyDescent="0.3">
      <c r="A33" s="16" t="s">
        <v>45</v>
      </c>
      <c r="B33" s="18">
        <v>1000</v>
      </c>
      <c r="C33" s="3">
        <v>12</v>
      </c>
      <c r="D33" s="3" t="s">
        <v>2</v>
      </c>
      <c r="E33" s="3">
        <v>30</v>
      </c>
      <c r="F33" s="3">
        <f>E33*60%</f>
        <v>18</v>
      </c>
      <c r="G33" s="4">
        <f>F33*C33</f>
        <v>216</v>
      </c>
      <c r="H33" s="3">
        <v>0.16</v>
      </c>
      <c r="I33" s="4">
        <f>G33*H33</f>
        <v>34.56</v>
      </c>
      <c r="J33" s="4">
        <f>I33/1000</f>
        <v>3.456E-2</v>
      </c>
      <c r="K33" s="4">
        <f>I33*30</f>
        <v>1036.8000000000002</v>
      </c>
    </row>
    <row r="34" spans="1:11" x14ac:dyDescent="0.3">
      <c r="B34" s="18"/>
      <c r="C34" s="3">
        <v>12</v>
      </c>
      <c r="D34" s="3" t="s">
        <v>4</v>
      </c>
      <c r="E34" s="3">
        <v>28</v>
      </c>
      <c r="F34" s="3">
        <f>E34*60%</f>
        <v>16.8</v>
      </c>
      <c r="G34" s="4">
        <f>F34*C34</f>
        <v>201.60000000000002</v>
      </c>
      <c r="H34" s="3">
        <v>0.16</v>
      </c>
      <c r="I34" s="4">
        <f>G34*H34</f>
        <v>32.256000000000007</v>
      </c>
      <c r="J34" s="4">
        <f>I34/1000</f>
        <v>3.2256000000000007E-2</v>
      </c>
      <c r="K34" s="4">
        <f>I34*30</f>
        <v>967.68000000000018</v>
      </c>
    </row>
    <row r="35" spans="1:11" x14ac:dyDescent="0.3">
      <c r="A35" s="17"/>
      <c r="B35" s="17"/>
      <c r="C35" s="3">
        <v>12</v>
      </c>
      <c r="D35" s="3" t="s">
        <v>5</v>
      </c>
      <c r="E35" s="3">
        <v>26</v>
      </c>
      <c r="F35" s="3">
        <f>E35*60%</f>
        <v>15.6</v>
      </c>
      <c r="G35" s="4">
        <f>F35*C35</f>
        <v>187.2</v>
      </c>
      <c r="H35" s="3">
        <v>0.16</v>
      </c>
      <c r="I35" s="4">
        <f>G35*H35</f>
        <v>29.951999999999998</v>
      </c>
      <c r="J35" s="4">
        <f>I35/1000</f>
        <v>2.9951999999999999E-2</v>
      </c>
      <c r="K35" s="4">
        <f>I35*30</f>
        <v>898.56</v>
      </c>
    </row>
  </sheetData>
  <mergeCells count="6">
    <mergeCell ref="A31:K31"/>
    <mergeCell ref="A13:K13"/>
    <mergeCell ref="A19:K19"/>
    <mergeCell ref="A25:K25"/>
    <mergeCell ref="A1:K1"/>
    <mergeCell ref="A7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1040-9729-4E7D-9984-83359E4D4519}">
  <dimension ref="B2:I10"/>
  <sheetViews>
    <sheetView workbookViewId="0">
      <selection activeCell="D15" sqref="D15"/>
    </sheetView>
  </sheetViews>
  <sheetFormatPr defaultRowHeight="14.4" x14ac:dyDescent="0.3"/>
  <cols>
    <col min="4" max="4" width="23.88671875" bestFit="1" customWidth="1"/>
    <col min="5" max="5" width="15.109375" bestFit="1" customWidth="1"/>
    <col min="9" max="9" width="19.33203125" bestFit="1" customWidth="1"/>
  </cols>
  <sheetData>
    <row r="2" spans="2:9" ht="15" thickBot="1" x14ac:dyDescent="0.35">
      <c r="B2" t="s">
        <v>34</v>
      </c>
    </row>
    <row r="3" spans="2:9" ht="15" thickBot="1" x14ac:dyDescent="0.35">
      <c r="B3" s="19" t="s">
        <v>48</v>
      </c>
      <c r="C3" t="s">
        <v>47</v>
      </c>
      <c r="D3" t="s">
        <v>56</v>
      </c>
      <c r="E3" t="s">
        <v>63</v>
      </c>
      <c r="H3" t="s">
        <v>74</v>
      </c>
      <c r="I3" t="s">
        <v>75</v>
      </c>
    </row>
    <row r="4" spans="2:9" x14ac:dyDescent="0.3">
      <c r="B4" s="20"/>
    </row>
    <row r="5" spans="2:9" x14ac:dyDescent="0.3">
      <c r="B5" s="21" t="s">
        <v>49</v>
      </c>
      <c r="C5">
        <v>50</v>
      </c>
      <c r="D5" s="4">
        <v>23.52</v>
      </c>
      <c r="E5" s="25">
        <f>H5*$I$5</f>
        <v>40370</v>
      </c>
      <c r="H5" s="25">
        <v>11000</v>
      </c>
      <c r="I5">
        <v>3.67</v>
      </c>
    </row>
    <row r="6" spans="2:9" x14ac:dyDescent="0.3">
      <c r="B6" s="21" t="s">
        <v>50</v>
      </c>
      <c r="C6">
        <v>100</v>
      </c>
      <c r="D6" s="4">
        <v>40.799999999999997</v>
      </c>
      <c r="E6" s="25">
        <f t="shared" ref="E6:E10" si="0">H6*$I$5</f>
        <v>54132.5</v>
      </c>
      <c r="H6" s="25">
        <v>14750</v>
      </c>
    </row>
    <row r="7" spans="2:9" x14ac:dyDescent="0.3">
      <c r="B7" s="21" t="s">
        <v>51</v>
      </c>
      <c r="C7">
        <v>200</v>
      </c>
      <c r="D7" s="4">
        <v>64.8</v>
      </c>
      <c r="E7" s="25">
        <f t="shared" si="0"/>
        <v>75235</v>
      </c>
      <c r="H7" s="25">
        <v>20500</v>
      </c>
    </row>
    <row r="8" spans="2:9" x14ac:dyDescent="0.3">
      <c r="B8" s="21" t="s">
        <v>52</v>
      </c>
      <c r="C8">
        <v>350</v>
      </c>
      <c r="D8" s="4">
        <v>110.39999999999999</v>
      </c>
      <c r="E8" s="25">
        <f t="shared" si="0"/>
        <v>113770</v>
      </c>
      <c r="H8" s="25">
        <v>31000</v>
      </c>
    </row>
    <row r="9" spans="2:9" x14ac:dyDescent="0.3">
      <c r="B9" s="21" t="s">
        <v>53</v>
      </c>
      <c r="C9">
        <v>500</v>
      </c>
      <c r="D9" s="4">
        <v>129.6</v>
      </c>
      <c r="E9" s="25">
        <f t="shared" si="0"/>
        <v>146800</v>
      </c>
      <c r="H9" s="25">
        <v>40000</v>
      </c>
    </row>
    <row r="10" spans="2:9" ht="15" thickBot="1" x14ac:dyDescent="0.35">
      <c r="B10" s="22" t="s">
        <v>54</v>
      </c>
      <c r="C10">
        <v>1000</v>
      </c>
      <c r="D10" s="4">
        <v>201.60000000000002</v>
      </c>
      <c r="E10" s="25">
        <f t="shared" si="0"/>
        <v>220200</v>
      </c>
      <c r="H10" s="25">
        <v>60000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09D6-EA30-430D-BB68-681921E7D48D}">
  <dimension ref="B2:I25"/>
  <sheetViews>
    <sheetView tabSelected="1" workbookViewId="0">
      <selection activeCell="K19" sqref="K19"/>
    </sheetView>
  </sheetViews>
  <sheetFormatPr defaultRowHeight="14.4" x14ac:dyDescent="0.3"/>
  <cols>
    <col min="2" max="2" width="28.88671875" bestFit="1" customWidth="1"/>
    <col min="3" max="3" width="4.33203125" bestFit="1" customWidth="1"/>
    <col min="4" max="4" width="11.44140625" bestFit="1" customWidth="1"/>
    <col min="8" max="8" width="19.5546875" bestFit="1" customWidth="1"/>
  </cols>
  <sheetData>
    <row r="2" spans="2:9" x14ac:dyDescent="0.3">
      <c r="B2" s="26" t="s">
        <v>34</v>
      </c>
      <c r="C2" s="26"/>
      <c r="D2" s="26" t="s">
        <v>47</v>
      </c>
    </row>
    <row r="3" spans="2:9" x14ac:dyDescent="0.3">
      <c r="B3" s="26" t="s">
        <v>54</v>
      </c>
      <c r="C3" s="26"/>
      <c r="D3" s="26">
        <f>VLOOKUP(Sheet1!B3,Rough!B:I,2,FALSE)</f>
        <v>1000</v>
      </c>
      <c r="H3" t="s">
        <v>72</v>
      </c>
      <c r="I3" t="s">
        <v>39</v>
      </c>
    </row>
    <row r="4" spans="2:9" s="15" customFormat="1" x14ac:dyDescent="0.3">
      <c r="H4" s="15" t="s">
        <v>70</v>
      </c>
      <c r="I4" s="15">
        <v>0.16</v>
      </c>
    </row>
    <row r="5" spans="2:9" x14ac:dyDescent="0.3">
      <c r="B5" s="15" t="s">
        <v>71</v>
      </c>
      <c r="C5" t="str">
        <f>$I$3</f>
        <v>AED</v>
      </c>
      <c r="D5">
        <f>I5</f>
        <v>0.1</v>
      </c>
      <c r="H5" t="s">
        <v>71</v>
      </c>
      <c r="I5">
        <v>0.1</v>
      </c>
    </row>
    <row r="6" spans="2:9" x14ac:dyDescent="0.3">
      <c r="B6" t="s">
        <v>61</v>
      </c>
      <c r="C6" s="15" t="str">
        <f>$I$3</f>
        <v>AED</v>
      </c>
      <c r="D6">
        <f>D5*D3</f>
        <v>100</v>
      </c>
      <c r="H6" t="s">
        <v>73</v>
      </c>
      <c r="I6">
        <v>5</v>
      </c>
    </row>
    <row r="7" spans="2:9" x14ac:dyDescent="0.3">
      <c r="B7" s="26" t="s">
        <v>62</v>
      </c>
      <c r="C7" s="26" t="str">
        <f>$I$3</f>
        <v>AED</v>
      </c>
      <c r="D7" s="26">
        <f>D6*30</f>
        <v>3000</v>
      </c>
    </row>
    <row r="9" spans="2:9" s="15" customFormat="1" x14ac:dyDescent="0.3">
      <c r="B9" s="15" t="s">
        <v>55</v>
      </c>
      <c r="D9" s="15">
        <f>VLOOKUP(Sheet1!B3,Rough!B:I,3,FALSE)</f>
        <v>201.60000000000002</v>
      </c>
    </row>
    <row r="10" spans="2:9" s="15" customFormat="1" x14ac:dyDescent="0.3">
      <c r="B10" s="15" t="s">
        <v>57</v>
      </c>
      <c r="C10" s="15" t="str">
        <f>$I$3</f>
        <v>AED</v>
      </c>
      <c r="D10" s="15">
        <f>I4</f>
        <v>0.16</v>
      </c>
    </row>
    <row r="11" spans="2:9" x14ac:dyDescent="0.3">
      <c r="B11" t="s">
        <v>59</v>
      </c>
      <c r="C11" s="15" t="str">
        <f>$I$3</f>
        <v>AED</v>
      </c>
      <c r="D11">
        <f>D9*D10</f>
        <v>32.256000000000007</v>
      </c>
    </row>
    <row r="12" spans="2:9" s="15" customFormat="1" x14ac:dyDescent="0.3">
      <c r="B12" s="26" t="s">
        <v>60</v>
      </c>
      <c r="C12" s="26"/>
      <c r="D12" s="26">
        <f>D11*30</f>
        <v>967.68000000000018</v>
      </c>
    </row>
    <row r="13" spans="2:9" s="15" customFormat="1" x14ac:dyDescent="0.3"/>
    <row r="14" spans="2:9" x14ac:dyDescent="0.3">
      <c r="B14" s="26" t="s">
        <v>66</v>
      </c>
      <c r="C14" s="26" t="str">
        <f>$I$3</f>
        <v>AED</v>
      </c>
      <c r="D14" s="26">
        <f>D7-D12</f>
        <v>2032.3199999999997</v>
      </c>
    </row>
    <row r="15" spans="2:9" x14ac:dyDescent="0.3">
      <c r="B15" s="26" t="s">
        <v>67</v>
      </c>
      <c r="C15" s="26" t="str">
        <f>$I$3</f>
        <v>AED</v>
      </c>
      <c r="D15" s="26">
        <f>D14*12</f>
        <v>24387.839999999997</v>
      </c>
    </row>
    <row r="16" spans="2:9" s="15" customFormat="1" x14ac:dyDescent="0.3"/>
    <row r="17" spans="2:4" s="15" customFormat="1" x14ac:dyDescent="0.3">
      <c r="B17" s="15" t="s">
        <v>58</v>
      </c>
      <c r="C17" s="15" t="s">
        <v>35</v>
      </c>
      <c r="D17" s="15">
        <f>D3*0.1</f>
        <v>100</v>
      </c>
    </row>
    <row r="18" spans="2:4" s="15" customFormat="1" x14ac:dyDescent="0.3">
      <c r="B18" s="15" t="s">
        <v>64</v>
      </c>
      <c r="C18" s="15" t="str">
        <f>$I$3</f>
        <v>AED</v>
      </c>
      <c r="D18" s="15">
        <f>D17*I6</f>
        <v>500</v>
      </c>
    </row>
    <row r="19" spans="2:4" s="15" customFormat="1" x14ac:dyDescent="0.3">
      <c r="B19" s="26" t="s">
        <v>65</v>
      </c>
      <c r="C19" s="26" t="str">
        <f>$I$3</f>
        <v>AED</v>
      </c>
      <c r="D19" s="26">
        <f>D18*30</f>
        <v>15000</v>
      </c>
    </row>
    <row r="20" spans="2:4" s="15" customFormat="1" x14ac:dyDescent="0.3"/>
    <row r="21" spans="2:4" s="15" customFormat="1" x14ac:dyDescent="0.3">
      <c r="B21" s="26" t="s">
        <v>68</v>
      </c>
      <c r="C21" s="26" t="str">
        <f>$I$3</f>
        <v>AED</v>
      </c>
      <c r="D21" s="26">
        <f>D19+D14</f>
        <v>17032.32</v>
      </c>
    </row>
    <row r="22" spans="2:4" s="15" customFormat="1" x14ac:dyDescent="0.3">
      <c r="B22" s="26" t="s">
        <v>69</v>
      </c>
      <c r="C22" s="26" t="str">
        <f>$I$3</f>
        <v>AED</v>
      </c>
      <c r="D22" s="26">
        <f>D21*12</f>
        <v>204387.84</v>
      </c>
    </row>
    <row r="23" spans="2:4" s="15" customFormat="1" x14ac:dyDescent="0.3"/>
    <row r="24" spans="2:4" s="23" customFormat="1" x14ac:dyDescent="0.3">
      <c r="B24" s="23" t="s">
        <v>36</v>
      </c>
      <c r="C24" s="15" t="str">
        <f>$I$3</f>
        <v>AED</v>
      </c>
      <c r="D24" s="24">
        <f>VLOOKUP(Sheet1!B3,Rough!B:I,4,FALSE)</f>
        <v>220200</v>
      </c>
    </row>
    <row r="25" spans="2:4" x14ac:dyDescent="0.3">
      <c r="B25" s="26" t="s">
        <v>37</v>
      </c>
      <c r="C25" s="26" t="s">
        <v>38</v>
      </c>
      <c r="D25" s="26">
        <f>D24/D22</f>
        <v>1.0773635065569458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7AB5B1-BB09-4553-A302-A544E0FE0D5F}">
          <x14:formula1>
            <xm:f>Rough!$B$5:$B$10</xm:f>
          </x14:formula1>
          <xm:sqref>B3:B4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selection activeCell="A2" sqref="A2:J5"/>
    </sheetView>
  </sheetViews>
  <sheetFormatPr defaultColWidth="8.33203125" defaultRowHeight="14.4" x14ac:dyDescent="0.3"/>
  <cols>
    <col min="1" max="1" width="9.44140625" bestFit="1" customWidth="1"/>
    <col min="2" max="2" width="22.109375" bestFit="1" customWidth="1"/>
    <col min="3" max="3" width="8.44140625" bestFit="1" customWidth="1"/>
    <col min="4" max="4" width="21" bestFit="1" customWidth="1"/>
    <col min="5" max="5" width="16.5546875" bestFit="1" customWidth="1"/>
    <col min="6" max="6" width="23.109375" bestFit="1" customWidth="1"/>
    <col min="7" max="7" width="16.6640625" bestFit="1" customWidth="1"/>
    <col min="8" max="8" width="19" bestFit="1" customWidth="1"/>
    <col min="9" max="9" width="15.6640625" bestFit="1" customWidth="1"/>
    <col min="10" max="10" width="21.88671875" bestFit="1" customWidth="1"/>
  </cols>
  <sheetData>
    <row r="1" spans="1:10" ht="21" x14ac:dyDescent="0.4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36.75" customHeight="1" x14ac:dyDescent="0.3">
      <c r="A2" s="1" t="s">
        <v>1</v>
      </c>
      <c r="B2" s="1" t="s">
        <v>10</v>
      </c>
      <c r="C2" s="1" t="s">
        <v>0</v>
      </c>
      <c r="D2" s="1" t="s">
        <v>3</v>
      </c>
      <c r="E2" s="2" t="s">
        <v>13</v>
      </c>
      <c r="F2" s="1" t="s">
        <v>18</v>
      </c>
      <c r="G2" s="1" t="s">
        <v>6</v>
      </c>
      <c r="H2" s="1" t="s">
        <v>9</v>
      </c>
      <c r="I2" s="1" t="s">
        <v>7</v>
      </c>
      <c r="J2" s="1" t="s">
        <v>8</v>
      </c>
    </row>
    <row r="3" spans="1:10" x14ac:dyDescent="0.3">
      <c r="A3" s="11" t="s">
        <v>17</v>
      </c>
      <c r="B3" s="3">
        <v>10.8</v>
      </c>
      <c r="C3" s="3" t="s">
        <v>2</v>
      </c>
      <c r="D3" s="3">
        <v>22</v>
      </c>
      <c r="E3" s="3">
        <f>D3*60%</f>
        <v>13.2</v>
      </c>
      <c r="F3" s="4">
        <f>E3*B3</f>
        <v>142.56</v>
      </c>
      <c r="G3" s="3">
        <v>9</v>
      </c>
      <c r="H3" s="4">
        <f>F3*G3</f>
        <v>1283.04</v>
      </c>
      <c r="I3" s="4">
        <f>H3/800</f>
        <v>1.6037999999999999</v>
      </c>
      <c r="J3" s="4">
        <f>H3*30</f>
        <v>38491.199999999997</v>
      </c>
    </row>
    <row r="4" spans="1:10" ht="21" customHeight="1" x14ac:dyDescent="0.3">
      <c r="A4" s="12"/>
      <c r="B4" s="3">
        <v>10.8</v>
      </c>
      <c r="C4" s="3" t="s">
        <v>4</v>
      </c>
      <c r="D4" s="3">
        <v>21</v>
      </c>
      <c r="E4" s="3">
        <f t="shared" ref="E4:E5" si="0">D4*60%</f>
        <v>12.6</v>
      </c>
      <c r="F4" s="4">
        <f t="shared" ref="F4:F5" si="1">E4*B4</f>
        <v>136.08000000000001</v>
      </c>
      <c r="G4" s="3">
        <v>9</v>
      </c>
      <c r="H4" s="4">
        <f t="shared" ref="H4:H5" si="2">F4*G4</f>
        <v>1224.72</v>
      </c>
      <c r="I4" s="4">
        <f t="shared" ref="I4:I5" si="3">H4/800</f>
        <v>1.5308999999999999</v>
      </c>
      <c r="J4" s="4">
        <f t="shared" ref="J4:J5" si="4">H4*30</f>
        <v>36741.599999999999</v>
      </c>
    </row>
    <row r="5" spans="1:10" ht="21" customHeight="1" x14ac:dyDescent="0.3">
      <c r="A5" s="13"/>
      <c r="B5" s="3">
        <v>10.8</v>
      </c>
      <c r="C5" s="3" t="s">
        <v>5</v>
      </c>
      <c r="D5" s="3">
        <v>20</v>
      </c>
      <c r="E5" s="3">
        <f t="shared" si="0"/>
        <v>12</v>
      </c>
      <c r="F5" s="4">
        <f t="shared" si="1"/>
        <v>129.60000000000002</v>
      </c>
      <c r="G5" s="3">
        <v>9</v>
      </c>
      <c r="H5" s="4">
        <f t="shared" si="2"/>
        <v>1166.4000000000001</v>
      </c>
      <c r="I5" s="4">
        <f t="shared" si="3"/>
        <v>1.4580000000000002</v>
      </c>
      <c r="J5" s="4">
        <f t="shared" si="4"/>
        <v>34992</v>
      </c>
    </row>
    <row r="6" spans="1:10" ht="21" customHeight="1" x14ac:dyDescent="0.3">
      <c r="A6" s="5"/>
      <c r="B6" s="6"/>
      <c r="C6" s="6"/>
      <c r="D6" s="6"/>
      <c r="E6" s="6"/>
      <c r="F6" s="7"/>
      <c r="G6" s="6"/>
      <c r="H6" s="7"/>
      <c r="I6" s="7"/>
      <c r="J6" s="7"/>
    </row>
    <row r="7" spans="1:10" ht="21" customHeight="1" x14ac:dyDescent="0.3">
      <c r="A7" s="5"/>
      <c r="B7" s="6"/>
      <c r="C7" s="6"/>
      <c r="D7" s="6"/>
      <c r="E7" s="6"/>
      <c r="F7" s="7"/>
      <c r="G7" s="6"/>
      <c r="H7" s="7"/>
      <c r="I7" s="7"/>
      <c r="J7" s="7"/>
    </row>
  </sheetData>
  <mergeCells count="2">
    <mergeCell ref="A1:J1"/>
    <mergeCell ref="A3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5"/>
  <sheetViews>
    <sheetView topLeftCell="A31" workbookViewId="0">
      <selection activeCell="J25" sqref="J25"/>
    </sheetView>
  </sheetViews>
  <sheetFormatPr defaultRowHeight="14.4" x14ac:dyDescent="0.3"/>
  <cols>
    <col min="1" max="1" width="10.33203125" customWidth="1"/>
    <col min="2" max="2" width="11.44140625" bestFit="1" customWidth="1"/>
    <col min="3" max="3" width="8.44140625" bestFit="1" customWidth="1"/>
    <col min="4" max="4" width="12.88671875" bestFit="1" customWidth="1"/>
    <col min="5" max="5" width="16.5546875" bestFit="1" customWidth="1"/>
    <col min="6" max="6" width="17.44140625" bestFit="1" customWidth="1"/>
    <col min="7" max="7" width="9.6640625" bestFit="1" customWidth="1"/>
    <col min="8" max="8" width="19" bestFit="1" customWidth="1"/>
    <col min="9" max="9" width="15.6640625" bestFit="1" customWidth="1"/>
    <col min="10" max="10" width="21.88671875" bestFit="1" customWidth="1"/>
  </cols>
  <sheetData>
    <row r="1" spans="1:10" ht="15.6" x14ac:dyDescent="0.3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s="8" customFormat="1" ht="60.75" customHeight="1" x14ac:dyDescent="0.3">
      <c r="A2" s="2" t="s">
        <v>1</v>
      </c>
      <c r="B2" s="2" t="s">
        <v>10</v>
      </c>
      <c r="C2" s="2" t="s">
        <v>0</v>
      </c>
      <c r="D2" s="2" t="s">
        <v>3</v>
      </c>
      <c r="E2" s="2" t="s">
        <v>13</v>
      </c>
      <c r="F2" s="2" t="s">
        <v>18</v>
      </c>
      <c r="G2" s="2" t="s">
        <v>6</v>
      </c>
      <c r="H2" s="2" t="s">
        <v>9</v>
      </c>
      <c r="I2" s="2" t="s">
        <v>7</v>
      </c>
      <c r="J2" s="2" t="s">
        <v>8</v>
      </c>
    </row>
    <row r="3" spans="1:10" x14ac:dyDescent="0.3">
      <c r="A3" s="11" t="s">
        <v>16</v>
      </c>
      <c r="B3" s="3">
        <v>2.8</v>
      </c>
      <c r="C3" s="3" t="s">
        <v>2</v>
      </c>
      <c r="D3" s="3">
        <v>16</v>
      </c>
      <c r="E3" s="3">
        <f>D3*60%</f>
        <v>9.6</v>
      </c>
      <c r="F3" s="4">
        <f>E3*B3</f>
        <v>26.88</v>
      </c>
      <c r="G3" s="3">
        <v>7</v>
      </c>
      <c r="H3" s="4">
        <f>F3*G3</f>
        <v>188.16</v>
      </c>
      <c r="I3" s="4">
        <f>H3/50</f>
        <v>3.7631999999999999</v>
      </c>
      <c r="J3" s="4">
        <f>H3*30</f>
        <v>5644.8</v>
      </c>
    </row>
    <row r="4" spans="1:10" x14ac:dyDescent="0.3">
      <c r="A4" s="12"/>
      <c r="B4" s="3">
        <v>2.8</v>
      </c>
      <c r="C4" s="3" t="s">
        <v>4</v>
      </c>
      <c r="D4" s="3">
        <v>13</v>
      </c>
      <c r="E4" s="3">
        <f t="shared" ref="E4:E5" si="0">D4*60%</f>
        <v>7.8</v>
      </c>
      <c r="F4" s="4">
        <f t="shared" ref="F4:F5" si="1">E4*B4</f>
        <v>21.84</v>
      </c>
      <c r="G4" s="3">
        <v>7</v>
      </c>
      <c r="H4" s="4">
        <f t="shared" ref="H4:H5" si="2">F4*G4</f>
        <v>152.88</v>
      </c>
      <c r="I4" s="4">
        <f t="shared" ref="I4:I5" si="3">H4/50</f>
        <v>3.0575999999999999</v>
      </c>
      <c r="J4" s="4">
        <f t="shared" ref="J4:J5" si="4">H4*30</f>
        <v>4586.3999999999996</v>
      </c>
    </row>
    <row r="5" spans="1:10" x14ac:dyDescent="0.3">
      <c r="A5" s="13"/>
      <c r="B5" s="3">
        <v>2.8</v>
      </c>
      <c r="C5" s="3" t="s">
        <v>5</v>
      </c>
      <c r="D5" s="3">
        <v>12</v>
      </c>
      <c r="E5" s="3">
        <f t="shared" si="0"/>
        <v>7.1999999999999993</v>
      </c>
      <c r="F5" s="4">
        <f t="shared" si="1"/>
        <v>20.159999999999997</v>
      </c>
      <c r="G5" s="3">
        <v>7</v>
      </c>
      <c r="H5" s="4">
        <f t="shared" si="2"/>
        <v>141.11999999999998</v>
      </c>
      <c r="I5" s="4">
        <f t="shared" si="3"/>
        <v>2.8223999999999996</v>
      </c>
      <c r="J5" s="4">
        <f t="shared" si="4"/>
        <v>4233.5999999999995</v>
      </c>
    </row>
    <row r="7" spans="1:10" s="8" customFormat="1" ht="31.2" x14ac:dyDescent="0.3">
      <c r="A7" s="2" t="s">
        <v>1</v>
      </c>
      <c r="B7" s="2" t="s">
        <v>10</v>
      </c>
      <c r="C7" s="2" t="s">
        <v>0</v>
      </c>
      <c r="D7" s="2" t="s">
        <v>3</v>
      </c>
      <c r="E7" s="2" t="s">
        <v>13</v>
      </c>
      <c r="F7" s="2" t="s">
        <v>18</v>
      </c>
      <c r="G7" s="2" t="s">
        <v>6</v>
      </c>
      <c r="H7" s="2" t="s">
        <v>9</v>
      </c>
      <c r="I7" s="2" t="s">
        <v>7</v>
      </c>
      <c r="J7" s="2" t="s">
        <v>8</v>
      </c>
    </row>
    <row r="8" spans="1:10" x14ac:dyDescent="0.3">
      <c r="A8" s="11" t="s">
        <v>15</v>
      </c>
      <c r="B8" s="3">
        <v>4</v>
      </c>
      <c r="C8" s="3" t="s">
        <v>2</v>
      </c>
      <c r="D8" s="3">
        <v>18</v>
      </c>
      <c r="E8" s="3">
        <f>D8*60%</f>
        <v>10.799999999999999</v>
      </c>
      <c r="F8" s="4">
        <f>E8*B8</f>
        <v>43.199999999999996</v>
      </c>
      <c r="G8" s="3">
        <v>7</v>
      </c>
      <c r="H8" s="4">
        <f>F8*G8</f>
        <v>302.39999999999998</v>
      </c>
      <c r="I8" s="4">
        <f>H8/100</f>
        <v>3.0239999999999996</v>
      </c>
      <c r="J8" s="4">
        <f>H8*30</f>
        <v>9072</v>
      </c>
    </row>
    <row r="9" spans="1:10" x14ac:dyDescent="0.3">
      <c r="A9" s="12"/>
      <c r="B9" s="3">
        <v>4</v>
      </c>
      <c r="C9" s="3" t="s">
        <v>4</v>
      </c>
      <c r="D9" s="3">
        <v>17</v>
      </c>
      <c r="E9" s="3">
        <f t="shared" ref="E9:E10" si="5">D9*60%</f>
        <v>10.199999999999999</v>
      </c>
      <c r="F9" s="4">
        <f t="shared" ref="F9:F10" si="6">E9*B9</f>
        <v>40.799999999999997</v>
      </c>
      <c r="G9" s="3">
        <v>7</v>
      </c>
      <c r="H9" s="4">
        <f t="shared" ref="H9:H10" si="7">F9*G9</f>
        <v>285.59999999999997</v>
      </c>
      <c r="I9" s="4">
        <f t="shared" ref="I9:I10" si="8">H9/100</f>
        <v>2.8559999999999999</v>
      </c>
      <c r="J9" s="4">
        <f t="shared" ref="J9:J10" si="9">H9*30</f>
        <v>8567.9999999999982</v>
      </c>
    </row>
    <row r="10" spans="1:10" x14ac:dyDescent="0.3">
      <c r="A10" s="13"/>
      <c r="B10" s="3">
        <v>4</v>
      </c>
      <c r="C10" s="3" t="s">
        <v>5</v>
      </c>
      <c r="D10" s="3">
        <v>16</v>
      </c>
      <c r="E10" s="3">
        <f t="shared" si="5"/>
        <v>9.6</v>
      </c>
      <c r="F10" s="4">
        <f t="shared" si="6"/>
        <v>38.4</v>
      </c>
      <c r="G10" s="3">
        <v>7</v>
      </c>
      <c r="H10" s="4">
        <f t="shared" si="7"/>
        <v>268.8</v>
      </c>
      <c r="I10" s="4">
        <f t="shared" si="8"/>
        <v>2.6880000000000002</v>
      </c>
      <c r="J10" s="4">
        <f t="shared" si="9"/>
        <v>8064</v>
      </c>
    </row>
    <row r="12" spans="1:10" s="8" customFormat="1" ht="51" customHeight="1" x14ac:dyDescent="0.3">
      <c r="A12" s="2" t="s">
        <v>1</v>
      </c>
      <c r="B12" s="2" t="s">
        <v>10</v>
      </c>
      <c r="C12" s="2" t="s">
        <v>0</v>
      </c>
      <c r="D12" s="2" t="s">
        <v>3</v>
      </c>
      <c r="E12" s="2" t="s">
        <v>13</v>
      </c>
      <c r="F12" s="2" t="s">
        <v>18</v>
      </c>
      <c r="G12" s="2" t="s">
        <v>6</v>
      </c>
      <c r="H12" s="2" t="s">
        <v>9</v>
      </c>
      <c r="I12" s="2" t="s">
        <v>7</v>
      </c>
      <c r="J12" s="2" t="s">
        <v>8</v>
      </c>
    </row>
    <row r="13" spans="1:10" x14ac:dyDescent="0.3">
      <c r="A13" s="11" t="s">
        <v>21</v>
      </c>
      <c r="B13" s="3">
        <v>6</v>
      </c>
      <c r="C13" s="3" t="s">
        <v>2</v>
      </c>
      <c r="D13" s="3">
        <v>22</v>
      </c>
      <c r="E13" s="3">
        <f>D13*60%</f>
        <v>13.2</v>
      </c>
      <c r="F13" s="4">
        <f>E13*B13</f>
        <v>79.199999999999989</v>
      </c>
      <c r="G13" s="3">
        <v>7</v>
      </c>
      <c r="H13" s="4">
        <f>F13*G13</f>
        <v>554.39999999999986</v>
      </c>
      <c r="I13" s="4">
        <f>H13/250</f>
        <v>2.2175999999999996</v>
      </c>
      <c r="J13" s="4">
        <f>H13*30</f>
        <v>16631.999999999996</v>
      </c>
    </row>
    <row r="14" spans="1:10" x14ac:dyDescent="0.3">
      <c r="A14" s="12"/>
      <c r="B14" s="3">
        <v>6</v>
      </c>
      <c r="C14" s="3" t="s">
        <v>4</v>
      </c>
      <c r="D14" s="3">
        <v>19</v>
      </c>
      <c r="E14" s="3">
        <f t="shared" ref="E14:E15" si="10">D14*60%</f>
        <v>11.4</v>
      </c>
      <c r="F14" s="4">
        <f t="shared" ref="F14:F15" si="11">E14*B14</f>
        <v>68.400000000000006</v>
      </c>
      <c r="G14" s="3">
        <v>7</v>
      </c>
      <c r="H14" s="4">
        <f t="shared" ref="H14" si="12">F14*G14</f>
        <v>478.80000000000007</v>
      </c>
      <c r="I14" s="4">
        <f t="shared" ref="I14:I15" si="13">H14/250</f>
        <v>1.9152000000000002</v>
      </c>
      <c r="J14" s="4">
        <f t="shared" ref="J14:J15" si="14">H14*30</f>
        <v>14364.000000000002</v>
      </c>
    </row>
    <row r="15" spans="1:10" x14ac:dyDescent="0.3">
      <c r="A15" s="13"/>
      <c r="B15" s="3">
        <v>6</v>
      </c>
      <c r="C15" s="3" t="s">
        <v>5</v>
      </c>
      <c r="D15" s="3">
        <v>16</v>
      </c>
      <c r="E15" s="3">
        <f t="shared" si="10"/>
        <v>9.6</v>
      </c>
      <c r="F15" s="4">
        <f t="shared" si="11"/>
        <v>57.599999999999994</v>
      </c>
      <c r="G15" s="3">
        <v>7</v>
      </c>
      <c r="H15" s="4">
        <f>F15*G15</f>
        <v>403.19999999999993</v>
      </c>
      <c r="I15" s="4">
        <f t="shared" si="13"/>
        <v>1.6127999999999998</v>
      </c>
      <c r="J15" s="4">
        <f t="shared" si="14"/>
        <v>12095.999999999998</v>
      </c>
    </row>
    <row r="16" spans="1:10" x14ac:dyDescent="0.3">
      <c r="A16" s="9"/>
      <c r="B16" s="3"/>
      <c r="C16" s="3"/>
      <c r="D16" s="3"/>
      <c r="E16" s="3"/>
      <c r="F16" s="4"/>
      <c r="G16" s="3"/>
      <c r="H16" s="4"/>
      <c r="I16" s="4"/>
      <c r="J16" s="4"/>
    </row>
    <row r="17" spans="1:10" s="8" customFormat="1" ht="51" customHeight="1" x14ac:dyDescent="0.3">
      <c r="A17" s="2" t="s">
        <v>1</v>
      </c>
      <c r="B17" s="2" t="s">
        <v>10</v>
      </c>
      <c r="C17" s="2" t="s">
        <v>0</v>
      </c>
      <c r="D17" s="2" t="s">
        <v>3</v>
      </c>
      <c r="E17" s="2" t="s">
        <v>13</v>
      </c>
      <c r="F17" s="2" t="s">
        <v>18</v>
      </c>
      <c r="G17" s="2" t="s">
        <v>6</v>
      </c>
      <c r="H17" s="2" t="s">
        <v>9</v>
      </c>
      <c r="I17" s="2" t="s">
        <v>7</v>
      </c>
      <c r="J17" s="2" t="s">
        <v>8</v>
      </c>
    </row>
    <row r="18" spans="1:10" x14ac:dyDescent="0.3">
      <c r="A18" s="11" t="s">
        <v>22</v>
      </c>
      <c r="B18" s="3">
        <v>8</v>
      </c>
      <c r="C18" s="3" t="s">
        <v>2</v>
      </c>
      <c r="D18" s="3">
        <v>25</v>
      </c>
      <c r="E18" s="3">
        <f>D18*60%</f>
        <v>15</v>
      </c>
      <c r="F18" s="4">
        <f>E18*B18</f>
        <v>120</v>
      </c>
      <c r="G18" s="3">
        <v>7</v>
      </c>
      <c r="H18" s="4">
        <f>F18*G18</f>
        <v>840</v>
      </c>
      <c r="I18" s="4">
        <f>H18/250</f>
        <v>3.36</v>
      </c>
      <c r="J18" s="4">
        <f>H18*30</f>
        <v>25200</v>
      </c>
    </row>
    <row r="19" spans="1:10" x14ac:dyDescent="0.3">
      <c r="A19" s="12"/>
      <c r="B19" s="3">
        <v>8</v>
      </c>
      <c r="C19" s="3" t="s">
        <v>4</v>
      </c>
      <c r="D19" s="3">
        <v>23</v>
      </c>
      <c r="E19" s="3">
        <f t="shared" ref="E19:E20" si="15">D19*60%</f>
        <v>13.799999999999999</v>
      </c>
      <c r="F19" s="4">
        <f t="shared" ref="F19:F20" si="16">E19*B19</f>
        <v>110.39999999999999</v>
      </c>
      <c r="G19" s="3">
        <v>7</v>
      </c>
      <c r="H19" s="4">
        <f t="shared" ref="H19" si="17">F19*G19</f>
        <v>772.8</v>
      </c>
      <c r="I19" s="4">
        <f t="shared" ref="I19:I20" si="18">H19/250</f>
        <v>3.0911999999999997</v>
      </c>
      <c r="J19" s="4">
        <f t="shared" ref="J19:J20" si="19">H19*30</f>
        <v>23184</v>
      </c>
    </row>
    <row r="20" spans="1:10" x14ac:dyDescent="0.3">
      <c r="A20" s="13"/>
      <c r="B20" s="3">
        <v>8</v>
      </c>
      <c r="C20" s="3" t="s">
        <v>5</v>
      </c>
      <c r="D20" s="3">
        <v>21</v>
      </c>
      <c r="E20" s="3">
        <f t="shared" si="15"/>
        <v>12.6</v>
      </c>
      <c r="F20" s="4">
        <f t="shared" si="16"/>
        <v>100.8</v>
      </c>
      <c r="G20" s="3">
        <v>7</v>
      </c>
      <c r="H20" s="4">
        <f>F20*G20</f>
        <v>705.6</v>
      </c>
      <c r="I20" s="4">
        <f t="shared" si="18"/>
        <v>2.8224</v>
      </c>
      <c r="J20" s="4">
        <f t="shared" si="19"/>
        <v>21168</v>
      </c>
    </row>
    <row r="22" spans="1:10" s="8" customFormat="1" ht="49.5" customHeight="1" x14ac:dyDescent="0.3">
      <c r="A22" s="2" t="s">
        <v>1</v>
      </c>
      <c r="B22" s="2" t="s">
        <v>10</v>
      </c>
      <c r="C22" s="2" t="s">
        <v>0</v>
      </c>
      <c r="D22" s="2" t="s">
        <v>3</v>
      </c>
      <c r="E22" s="2" t="s">
        <v>19</v>
      </c>
      <c r="F22" s="2" t="s">
        <v>18</v>
      </c>
      <c r="G22" s="2" t="s">
        <v>6</v>
      </c>
      <c r="H22" s="2" t="s">
        <v>9</v>
      </c>
      <c r="I22" s="2" t="s">
        <v>7</v>
      </c>
      <c r="J22" s="2" t="s">
        <v>8</v>
      </c>
    </row>
    <row r="23" spans="1:10" x14ac:dyDescent="0.3">
      <c r="A23" s="11" t="s">
        <v>14</v>
      </c>
      <c r="B23" s="3">
        <v>9</v>
      </c>
      <c r="C23" s="3" t="s">
        <v>2</v>
      </c>
      <c r="D23" s="3">
        <v>26</v>
      </c>
      <c r="E23" s="3">
        <f>D23*60%</f>
        <v>15.6</v>
      </c>
      <c r="F23" s="4">
        <f>E23*B23</f>
        <v>140.4</v>
      </c>
      <c r="G23" s="3">
        <v>7</v>
      </c>
      <c r="H23" s="4">
        <f>F23*G23</f>
        <v>982.80000000000007</v>
      </c>
      <c r="I23" s="4">
        <f>H23/500</f>
        <v>1.9656000000000002</v>
      </c>
      <c r="J23" s="4">
        <f>H23*30</f>
        <v>29484.000000000004</v>
      </c>
    </row>
    <row r="24" spans="1:10" x14ac:dyDescent="0.3">
      <c r="A24" s="12"/>
      <c r="B24" s="3">
        <v>9</v>
      </c>
      <c r="C24" s="3" t="s">
        <v>4</v>
      </c>
      <c r="D24" s="3">
        <v>24</v>
      </c>
      <c r="E24" s="3">
        <f t="shared" ref="E24:E25" si="20">D24*60%</f>
        <v>14.399999999999999</v>
      </c>
      <c r="F24" s="4">
        <f t="shared" ref="F24" si="21">E24*B24</f>
        <v>129.6</v>
      </c>
      <c r="G24" s="3">
        <v>7</v>
      </c>
      <c r="H24" s="4">
        <f t="shared" ref="H24:H25" si="22">F24*G24</f>
        <v>907.19999999999993</v>
      </c>
      <c r="I24" s="4">
        <f t="shared" ref="I24:I25" si="23">H24/500</f>
        <v>1.8143999999999998</v>
      </c>
      <c r="J24" s="4">
        <f t="shared" ref="J24:J25" si="24">H24*30</f>
        <v>27215.999999999996</v>
      </c>
    </row>
    <row r="25" spans="1:10" x14ac:dyDescent="0.3">
      <c r="A25" s="13"/>
      <c r="B25" s="3">
        <v>9</v>
      </c>
      <c r="C25" s="3" t="s">
        <v>5</v>
      </c>
      <c r="D25" s="3">
        <v>22</v>
      </c>
      <c r="E25" s="3">
        <f t="shared" si="20"/>
        <v>13.2</v>
      </c>
      <c r="F25" s="4">
        <f>E25*B25</f>
        <v>118.8</v>
      </c>
      <c r="G25" s="3">
        <v>7</v>
      </c>
      <c r="H25" s="4">
        <f t="shared" si="22"/>
        <v>831.6</v>
      </c>
      <c r="I25" s="4">
        <f t="shared" si="23"/>
        <v>1.6632</v>
      </c>
      <c r="J25" s="4">
        <f t="shared" si="24"/>
        <v>24948</v>
      </c>
    </row>
    <row r="27" spans="1:10" s="8" customFormat="1" ht="51" hidden="1" customHeight="1" x14ac:dyDescent="0.3">
      <c r="A27" s="2" t="s">
        <v>1</v>
      </c>
      <c r="B27" s="2" t="s">
        <v>10</v>
      </c>
      <c r="C27" s="2" t="s">
        <v>0</v>
      </c>
      <c r="D27" s="2" t="s">
        <v>3</v>
      </c>
      <c r="E27" s="2" t="s">
        <v>13</v>
      </c>
      <c r="F27" s="2" t="s">
        <v>18</v>
      </c>
      <c r="G27" s="2" t="s">
        <v>6</v>
      </c>
      <c r="H27" s="2" t="s">
        <v>9</v>
      </c>
      <c r="I27" s="2" t="s">
        <v>7</v>
      </c>
      <c r="J27" s="2" t="s">
        <v>8</v>
      </c>
    </row>
    <row r="28" spans="1:10" hidden="1" x14ac:dyDescent="0.3">
      <c r="A28" s="11" t="s">
        <v>17</v>
      </c>
      <c r="B28" s="3">
        <v>10.8</v>
      </c>
      <c r="C28" s="3" t="s">
        <v>2</v>
      </c>
      <c r="D28" s="3">
        <v>26</v>
      </c>
      <c r="E28" s="3">
        <f>D28*60%</f>
        <v>15.6</v>
      </c>
      <c r="F28" s="4">
        <f>E28*B28</f>
        <v>168.48000000000002</v>
      </c>
      <c r="G28" s="3">
        <v>7</v>
      </c>
      <c r="H28" s="4">
        <f>F28*G28</f>
        <v>1179.3600000000001</v>
      </c>
      <c r="I28" s="4">
        <f>H28/800</f>
        <v>1.4742000000000002</v>
      </c>
      <c r="J28" s="4">
        <f>H28*30</f>
        <v>35380.800000000003</v>
      </c>
    </row>
    <row r="29" spans="1:10" hidden="1" x14ac:dyDescent="0.3">
      <c r="A29" s="12"/>
      <c r="B29" s="3">
        <v>10.8</v>
      </c>
      <c r="C29" s="3" t="s">
        <v>4</v>
      </c>
      <c r="D29" s="3">
        <v>24</v>
      </c>
      <c r="E29" s="3">
        <f t="shared" ref="E29:E30" si="25">D29*60%</f>
        <v>14.399999999999999</v>
      </c>
      <c r="F29" s="4">
        <f t="shared" ref="F29:F30" si="26">E29*B29</f>
        <v>155.51999999999998</v>
      </c>
      <c r="G29" s="3">
        <v>7</v>
      </c>
      <c r="H29" s="4">
        <f t="shared" ref="H29:H30" si="27">F29*G29</f>
        <v>1088.6399999999999</v>
      </c>
      <c r="I29" s="4">
        <f t="shared" ref="I29:I30" si="28">H29/800</f>
        <v>1.3607999999999998</v>
      </c>
      <c r="J29" s="4">
        <f t="shared" ref="J29:J30" si="29">H29*30</f>
        <v>32659.199999999997</v>
      </c>
    </row>
    <row r="30" spans="1:10" hidden="1" x14ac:dyDescent="0.3">
      <c r="A30" s="13"/>
      <c r="B30" s="3">
        <v>10.8</v>
      </c>
      <c r="C30" s="3" t="s">
        <v>5</v>
      </c>
      <c r="D30" s="3">
        <v>22</v>
      </c>
      <c r="E30" s="3">
        <f t="shared" si="25"/>
        <v>13.2</v>
      </c>
      <c r="F30" s="4">
        <f t="shared" si="26"/>
        <v>142.56</v>
      </c>
      <c r="G30" s="3">
        <v>7</v>
      </c>
      <c r="H30" s="4">
        <f t="shared" si="27"/>
        <v>997.92000000000007</v>
      </c>
      <c r="I30" s="4">
        <f t="shared" si="28"/>
        <v>1.2474000000000001</v>
      </c>
      <c r="J30" s="4">
        <f t="shared" si="29"/>
        <v>29937.600000000002</v>
      </c>
    </row>
    <row r="32" spans="1:10" s="8" customFormat="1" ht="45" customHeight="1" x14ac:dyDescent="0.3">
      <c r="A32" s="2" t="s">
        <v>1</v>
      </c>
      <c r="B32" s="2" t="s">
        <v>10</v>
      </c>
      <c r="C32" s="2" t="s">
        <v>0</v>
      </c>
      <c r="D32" s="2" t="s">
        <v>3</v>
      </c>
      <c r="E32" s="2" t="s">
        <v>13</v>
      </c>
      <c r="F32" s="2" t="s">
        <v>18</v>
      </c>
      <c r="G32" s="2" t="s">
        <v>6</v>
      </c>
      <c r="H32" s="2" t="s">
        <v>9</v>
      </c>
      <c r="I32" s="2" t="s">
        <v>7</v>
      </c>
      <c r="J32" s="2" t="s">
        <v>8</v>
      </c>
    </row>
    <row r="33" spans="1:10" x14ac:dyDescent="0.3">
      <c r="A33" s="11" t="s">
        <v>11</v>
      </c>
      <c r="B33" s="3">
        <v>12</v>
      </c>
      <c r="C33" s="3" t="s">
        <v>2</v>
      </c>
      <c r="D33" s="3">
        <v>30</v>
      </c>
      <c r="E33" s="3">
        <f>D33*60%</f>
        <v>18</v>
      </c>
      <c r="F33" s="4">
        <f>E33*B33</f>
        <v>216</v>
      </c>
      <c r="G33" s="3">
        <v>7</v>
      </c>
      <c r="H33" s="4">
        <f>F33*G33</f>
        <v>1512</v>
      </c>
      <c r="I33" s="4">
        <f>H33/1000</f>
        <v>1.512</v>
      </c>
      <c r="J33" s="4">
        <f>H33*30</f>
        <v>45360</v>
      </c>
    </row>
    <row r="34" spans="1:10" x14ac:dyDescent="0.3">
      <c r="A34" s="12"/>
      <c r="B34" s="3">
        <v>12</v>
      </c>
      <c r="C34" s="3" t="s">
        <v>4</v>
      </c>
      <c r="D34" s="3">
        <v>28</v>
      </c>
      <c r="E34" s="3">
        <f t="shared" ref="E34:E35" si="30">D34*60%</f>
        <v>16.8</v>
      </c>
      <c r="F34" s="4">
        <f t="shared" ref="F34:F35" si="31">E34*B34</f>
        <v>201.60000000000002</v>
      </c>
      <c r="G34" s="3">
        <v>7</v>
      </c>
      <c r="H34" s="4">
        <f t="shared" ref="H34:H35" si="32">F34*G34</f>
        <v>1411.2000000000003</v>
      </c>
      <c r="I34" s="4">
        <f t="shared" ref="I34:I35" si="33">H34/1000</f>
        <v>1.4112000000000002</v>
      </c>
      <c r="J34" s="4">
        <f t="shared" ref="J34:J35" si="34">H34*30</f>
        <v>42336.000000000007</v>
      </c>
    </row>
    <row r="35" spans="1:10" x14ac:dyDescent="0.3">
      <c r="A35" s="13"/>
      <c r="B35" s="3">
        <v>12</v>
      </c>
      <c r="C35" s="3" t="s">
        <v>5</v>
      </c>
      <c r="D35" s="3">
        <v>26</v>
      </c>
      <c r="E35" s="3">
        <f t="shared" si="30"/>
        <v>15.6</v>
      </c>
      <c r="F35" s="4">
        <f t="shared" si="31"/>
        <v>187.2</v>
      </c>
      <c r="G35" s="3">
        <v>7</v>
      </c>
      <c r="H35" s="4">
        <f t="shared" si="32"/>
        <v>1310.3999999999999</v>
      </c>
      <c r="I35" s="4">
        <f t="shared" si="33"/>
        <v>1.3103999999999998</v>
      </c>
      <c r="J35" s="4">
        <f t="shared" si="34"/>
        <v>39311.999999999993</v>
      </c>
    </row>
  </sheetData>
  <mergeCells count="8">
    <mergeCell ref="A1:J1"/>
    <mergeCell ref="A33:A35"/>
    <mergeCell ref="A3:A5"/>
    <mergeCell ref="A8:A10"/>
    <mergeCell ref="A13:A15"/>
    <mergeCell ref="A23:A25"/>
    <mergeCell ref="A28:A30"/>
    <mergeCell ref="A18:A20"/>
  </mergeCells>
  <pageMargins left="0.2" right="0.2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Models</vt:lpstr>
      <vt:lpstr>Rough</vt:lpstr>
      <vt:lpstr>Sheet1</vt:lpstr>
      <vt:lpstr>SE-8001</vt:lpstr>
      <vt:lpstr>All Machines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Rameez Babu</cp:lastModifiedBy>
  <cp:lastPrinted>2019-05-30T04:43:26Z</cp:lastPrinted>
  <dcterms:created xsi:type="dcterms:W3CDTF">2018-11-02T06:21:38Z</dcterms:created>
  <dcterms:modified xsi:type="dcterms:W3CDTF">2025-10-17T11:03:05Z</dcterms:modified>
</cp:coreProperties>
</file>